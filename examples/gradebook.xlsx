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Student</t>
        </is>
      </c>
      <c r="B1" s="1" t="inlineStr">
        <is>
          <t>Quiz 1</t>
        </is>
      </c>
      <c r="C1" s="1" t="inlineStr">
        <is>
          <t>Quiz 2</t>
        </is>
      </c>
      <c r="D1" s="1" t="inlineStr">
        <is>
          <t>Assignment</t>
        </is>
      </c>
      <c r="E1" s="1" t="inlineStr">
        <is>
          <t>Exam</t>
        </is>
      </c>
      <c r="F1" s="1" t="inlineStr">
        <is>
          <t>Total</t>
        </is>
      </c>
      <c r="G1" s="1" t="inlineStr">
        <is>
          <t>Grade</t>
        </is>
      </c>
      <c r="H1" s="1" t="inlineStr">
        <is>
          <t>Weighted %</t>
        </is>
      </c>
    </row>
    <row r="2">
      <c r="A2" t="inlineStr">
        <is>
          <t>Aditi</t>
        </is>
      </c>
      <c r="B2" t="n">
        <v>18</v>
      </c>
      <c r="C2" t="n">
        <v>16</v>
      </c>
      <c r="D2" t="n">
        <v>19</v>
      </c>
      <c r="E2" t="n">
        <v>36</v>
      </c>
      <c r="F2">
        <f>SUM(B2:E2)</f>
        <v/>
      </c>
      <c r="G2">
        <f>IF(F2&gt;=90,"A",IF(F2&gt;=80,"B",IF(F2&gt;=70,"C","F")))</f>
        <v/>
      </c>
      <c r="H2">
        <f>ROUND(B2/20*15+C2/20*15+D2/20*20+E2/40*50,1)</f>
        <v/>
      </c>
    </row>
    <row r="3">
      <c r="A3" t="inlineStr">
        <is>
          <t>Rohan</t>
        </is>
      </c>
      <c r="B3" t="n">
        <v>12</v>
      </c>
      <c r="C3" t="n">
        <v>14</v>
      </c>
      <c r="D3" t="n">
        <v>15</v>
      </c>
      <c r="E3" t="n">
        <v>28</v>
      </c>
      <c r="F3">
        <f>SUM(B3:E3)</f>
        <v/>
      </c>
      <c r="G3">
        <f>IF(F3&gt;=90,"A",IF(F3&gt;=80,"B",IF(F3&gt;=70,"C","F")))</f>
        <v/>
      </c>
      <c r="H3">
        <f>ROUND(B3/20*15+C3/20*15+D3/20*20+E3/40*50,1)</f>
        <v/>
      </c>
    </row>
    <row r="4">
      <c r="A4" t="inlineStr">
        <is>
          <t>Meera</t>
        </is>
      </c>
      <c r="B4" t="n">
        <v>20</v>
      </c>
      <c r="C4" t="n">
        <v>19</v>
      </c>
      <c r="D4" t="n">
        <v>20</v>
      </c>
      <c r="E4" t="n">
        <v>38</v>
      </c>
      <c r="F4">
        <f>SUM(B4:E4)</f>
        <v/>
      </c>
      <c r="G4">
        <f>IF(F4&gt;=90,"A",IF(F4&gt;=80,"B",IF(F4&gt;=70,"C","F")))</f>
        <v/>
      </c>
      <c r="H4">
        <f>ROUND(B4/20*15+C4/20*15+D4/20*20+E4/40*50,1)</f>
        <v/>
      </c>
    </row>
    <row r="5">
      <c r="A5" t="inlineStr">
        <is>
          <t>Karthik</t>
        </is>
      </c>
      <c r="B5" t="n">
        <v>9</v>
      </c>
      <c r="C5" t="n">
        <v>11</v>
      </c>
      <c r="D5" t="n">
        <v>13</v>
      </c>
      <c r="E5" t="n">
        <v>22</v>
      </c>
      <c r="F5">
        <f>SUM(B5:E5)</f>
        <v/>
      </c>
      <c r="G5">
        <f>IF(F5&gt;=90,"A",IF(F5&gt;=80,"B",IF(F5&gt;=70,"C","F")))</f>
        <v/>
      </c>
      <c r="H5">
        <f>ROUND(B5/20*15+C5/20*15+D5/20*20+E5/40*50,1)</f>
        <v/>
      </c>
    </row>
    <row r="6">
      <c r="A6" t="inlineStr">
        <is>
          <t>Sneha</t>
        </is>
      </c>
      <c r="B6" t="n">
        <v>15</v>
      </c>
      <c r="C6" t="n">
        <v>17</v>
      </c>
      <c r="D6" t="n">
        <v>16</v>
      </c>
      <c r="E6" t="n">
        <v>31</v>
      </c>
      <c r="F6">
        <f>SUM(B6:E6)</f>
        <v/>
      </c>
      <c r="G6">
        <f>IF(F6&gt;=90,"A",IF(F6&gt;=80,"B",IF(F6&gt;=70,"C","F")))</f>
        <v/>
      </c>
      <c r="H6">
        <f>ROUND(B6/20*15+C6/20*15+D6/20*20+E6/40*50,1)</f>
        <v/>
      </c>
    </row>
    <row r="9">
      <c r="A9" s="2" t="inlineStr">
        <is>
          <t>Class average</t>
        </is>
      </c>
      <c r="B9">
        <f>ROUND(AVERAGE(F2:F6),2)</f>
        <v/>
      </c>
    </row>
    <row r="10">
      <c r="A10" s="2" t="inlineStr">
        <is>
          <t>Highest total</t>
        </is>
      </c>
      <c r="B10">
        <f>MAX(F2:F6)</f>
        <v/>
      </c>
    </row>
    <row r="11">
      <c r="A11" s="2" t="inlineStr">
        <is>
          <t>Lowest total</t>
        </is>
      </c>
      <c r="B11">
        <f>MIN(F2:F6)</f>
        <v/>
      </c>
    </row>
    <row r="12">
      <c r="A12" s="2" t="inlineStr">
        <is>
          <t>Students</t>
        </is>
      </c>
      <c r="B12">
        <f>COUNT(F2:F6)</f>
        <v/>
      </c>
    </row>
    <row r="13">
      <c r="A13" s="2" t="inlineStr">
        <is>
          <t>Spread</t>
        </is>
      </c>
      <c r="B13">
        <f>MAX(F2:F6)-MIN(F2:F6)</f>
        <v/>
      </c>
    </row>
    <row r="14">
      <c r="A14" s="2" t="inlineStr">
        <is>
          <t>Above average</t>
        </is>
      </c>
      <c r="B14">
        <f>IF(F2&gt;=AVERAGE(F2:F6),"yes","no")</f>
        <v/>
      </c>
    </row>
    <row r="15">
      <c r="A15" s="2" t="inlineStr">
        <is>
          <t>Report line</t>
        </is>
      </c>
      <c r="B15">
        <f>"Class average "&amp;ROUND(AVERAGE(F2:F6),1)&amp;" of 100"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2026-10-07T21:22:54Z</dcterms:created>
  <dcterms:modified xmlns:dcterms="http://purl.org/dc/terms/" xmlns:xsi="http://www.w3.org/2001/XMLSchema-instance" xsi:type="dcterms:W3CDTF">2026-10-07T21:22:54Z</dcterms:modified>
</cp:coreProperties>
</file>