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puts" sheetId="1" state="visible" r:id="rId1"/>
    <sheet xmlns:r="http://schemas.openxmlformats.org/officeDocument/2006/relationships" name="Sales" sheetId="2" state="visible" r:id="rId2"/>
    <sheet xmlns:r="http://schemas.openxmlformats.org/officeDocument/2006/relationships" name="Summary" sheetId="3" state="visible" r:id="rId3"/>
  </sheets>
  <definedNames>
    <definedName name="TaxRate">Inputs!$B$2</definedName>
    <definedName name="CommissionRate">Inputs!$B$3</definedName>
    <definedName name="Target">Inputs!$B$4</definedName>
    <definedName name="SalesRevenue">Sales!$E$2:$E$21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8EE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1" fillId="2" borderId="0" pivotButton="0" quotePrefix="0" xfId="0"/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Assumption</t>
        </is>
      </c>
      <c r="B1" s="1" t="inlineStr">
        <is>
          <t>Value</t>
        </is>
      </c>
    </row>
    <row r="2">
      <c r="A2" t="inlineStr">
        <is>
          <t>Tax rate</t>
        </is>
      </c>
      <c r="B2" t="n">
        <v>0.18</v>
      </c>
    </row>
    <row r="3">
      <c r="A3" t="inlineStr">
        <is>
          <t>Commission rate</t>
        </is>
      </c>
      <c r="B3" t="n">
        <v>0.06</v>
      </c>
    </row>
    <row r="4">
      <c r="A4" t="inlineStr">
        <is>
          <t>Revenue target</t>
        </is>
      </c>
      <c r="B4" t="n">
        <v>60000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2" t="inlineStr">
        <is>
          <t>Region</t>
        </is>
      </c>
      <c r="B1" s="2" t="inlineStr">
        <is>
          <t>Rep</t>
        </is>
      </c>
      <c r="C1" s="2" t="inlineStr">
        <is>
          <t>Units</t>
        </is>
      </c>
      <c r="D1" s="2" t="inlineStr">
        <is>
          <t>Unit Price</t>
        </is>
      </c>
      <c r="E1" s="2" t="inlineStr">
        <is>
          <t>Revenue</t>
        </is>
      </c>
      <c r="F1" s="2" t="inlineStr">
        <is>
          <t>Commission</t>
        </is>
      </c>
    </row>
    <row r="2">
      <c r="A2" t="inlineStr">
        <is>
          <t>North</t>
        </is>
      </c>
      <c r="B2" t="inlineStr">
        <is>
          <t>Asha Rao</t>
        </is>
      </c>
      <c r="C2" t="n">
        <v>42</v>
      </c>
      <c r="D2" t="n">
        <v>120</v>
      </c>
      <c r="E2" s="3">
        <f>C2*D2</f>
        <v/>
      </c>
      <c r="F2" s="3">
        <f>E2*CommissionRate</f>
        <v/>
      </c>
    </row>
    <row r="3">
      <c r="A3" t="inlineStr">
        <is>
          <t>South</t>
        </is>
      </c>
      <c r="B3" t="inlineStr">
        <is>
          <t>Ben Ortiz</t>
        </is>
      </c>
      <c r="C3" t="n">
        <v>18</v>
      </c>
      <c r="D3" t="n">
        <v>250</v>
      </c>
      <c r="E3" s="3">
        <f>C3*D3</f>
        <v/>
      </c>
      <c r="F3" s="3">
        <f>E3*CommissionRate</f>
        <v/>
      </c>
    </row>
    <row r="4">
      <c r="A4" t="inlineStr">
        <is>
          <t>East</t>
        </is>
      </c>
      <c r="B4" t="inlineStr">
        <is>
          <t>Chen Wei</t>
        </is>
      </c>
      <c r="C4" t="n">
        <v>35</v>
      </c>
      <c r="D4" t="n">
        <v>90</v>
      </c>
      <c r="E4" s="3">
        <f>C4*D4</f>
        <v/>
      </c>
      <c r="F4" s="3">
        <f>E4*CommissionRate</f>
        <v/>
      </c>
    </row>
    <row r="5">
      <c r="A5" t="inlineStr">
        <is>
          <t>West</t>
        </is>
      </c>
      <c r="B5" t="inlineStr">
        <is>
          <t>Divya Nair</t>
        </is>
      </c>
      <c r="C5" t="n">
        <v>27</v>
      </c>
      <c r="D5" t="n">
        <v>180</v>
      </c>
      <c r="E5" s="3">
        <f>C5*D5</f>
        <v/>
      </c>
      <c r="F5" s="3">
        <f>E5*CommissionRate</f>
        <v/>
      </c>
    </row>
    <row r="6">
      <c r="A6" t="inlineStr">
        <is>
          <t>North</t>
        </is>
      </c>
      <c r="B6" t="inlineStr">
        <is>
          <t>Eli Cohen</t>
        </is>
      </c>
      <c r="C6" t="n">
        <v>50</v>
      </c>
      <c r="D6" t="n">
        <v>75</v>
      </c>
      <c r="E6" s="3">
        <f>C6*D6</f>
        <v/>
      </c>
      <c r="F6" s="3">
        <f>E6*CommissionRate</f>
        <v/>
      </c>
    </row>
    <row r="7">
      <c r="A7" t="inlineStr">
        <is>
          <t>South</t>
        </is>
      </c>
      <c r="B7" t="inlineStr">
        <is>
          <t>Farah Khan</t>
        </is>
      </c>
      <c r="C7" t="n">
        <v>12</v>
      </c>
      <c r="D7" t="n">
        <v>300</v>
      </c>
      <c r="E7" s="3">
        <f>C7*D7</f>
        <v/>
      </c>
      <c r="F7" s="3">
        <f>E7*CommissionRate</f>
        <v/>
      </c>
    </row>
    <row r="8">
      <c r="A8" t="inlineStr">
        <is>
          <t>Test</t>
        </is>
      </c>
      <c r="B8" t="inlineStr">
        <is>
          <t>TEST</t>
        </is>
      </c>
      <c r="C8" t="n">
        <v>1</v>
      </c>
      <c r="D8" t="n">
        <v>1</v>
      </c>
      <c r="E8" s="3">
        <f>C8*D8</f>
        <v/>
      </c>
      <c r="F8" s="3">
        <f>E8*CommissionRate</f>
        <v/>
      </c>
    </row>
    <row r="9">
      <c r="A9" t="inlineStr">
        <is>
          <t>East</t>
        </is>
      </c>
      <c r="B9" t="inlineStr">
        <is>
          <t>Gita Iyer</t>
        </is>
      </c>
      <c r="C9" t="n">
        <v>64</v>
      </c>
      <c r="D9" t="n">
        <v>55</v>
      </c>
      <c r="E9" s="3">
        <f>C9*D9</f>
        <v/>
      </c>
      <c r="F9" s="3">
        <f>E9*CommissionRate</f>
        <v/>
      </c>
    </row>
    <row r="10">
      <c r="A10" t="inlineStr">
        <is>
          <t>West</t>
        </is>
      </c>
      <c r="B10" t="inlineStr">
        <is>
          <t>Hugo Lind</t>
        </is>
      </c>
      <c r="C10" t="n">
        <v>22</v>
      </c>
      <c r="D10" t="n">
        <v>210</v>
      </c>
      <c r="E10" s="3">
        <f>C10*D10</f>
        <v/>
      </c>
      <c r="F10" s="3">
        <f>E10*CommissionRate</f>
        <v/>
      </c>
    </row>
    <row r="11">
      <c r="A11" t="inlineStr">
        <is>
          <t>North</t>
        </is>
      </c>
      <c r="B11" t="inlineStr">
        <is>
          <t>Ivan Petrov</t>
        </is>
      </c>
      <c r="C11" t="n">
        <v>31</v>
      </c>
      <c r="D11" t="n">
        <v>140</v>
      </c>
      <c r="E11" s="3">
        <f>C11*D11</f>
        <v/>
      </c>
      <c r="F11" s="3">
        <f>E11*CommissionRate</f>
        <v/>
      </c>
    </row>
    <row r="12">
      <c r="A12" t="inlineStr">
        <is>
          <t>South</t>
        </is>
      </c>
      <c r="B12" t="inlineStr">
        <is>
          <t>Jia Liu</t>
        </is>
      </c>
      <c r="C12" t="n">
        <v>45</v>
      </c>
      <c r="D12" t="n">
        <v>95</v>
      </c>
      <c r="E12" s="3">
        <f>C12*D12</f>
        <v/>
      </c>
      <c r="F12" s="3">
        <f>E12*CommissionRate</f>
        <v/>
      </c>
    </row>
    <row r="13">
      <c r="A13" t="inlineStr">
        <is>
          <t>East</t>
        </is>
      </c>
      <c r="B13" t="inlineStr">
        <is>
          <t>Kofi Mensah</t>
        </is>
      </c>
      <c r="C13" t="n">
        <v>19</v>
      </c>
      <c r="D13" t="n">
        <v>260</v>
      </c>
      <c r="E13" s="3">
        <f>C13*D13</f>
        <v/>
      </c>
      <c r="F13" s="3">
        <f>E13*CommissionRate</f>
        <v/>
      </c>
    </row>
    <row r="14">
      <c r="A14" t="inlineStr">
        <is>
          <t>West</t>
        </is>
      </c>
      <c r="B14" t="inlineStr">
        <is>
          <t>Lena Fischer</t>
        </is>
      </c>
      <c r="C14" t="n">
        <v>38</v>
      </c>
      <c r="D14" t="n">
        <v>115</v>
      </c>
      <c r="E14" s="3">
        <f>C14*D14</f>
        <v/>
      </c>
      <c r="F14" s="3">
        <f>E14*CommissionRate</f>
        <v/>
      </c>
    </row>
    <row r="15">
      <c r="A15" t="inlineStr">
        <is>
          <t>Test</t>
        </is>
      </c>
      <c r="B15" t="inlineStr">
        <is>
          <t>TEST</t>
        </is>
      </c>
      <c r="C15" t="n">
        <v>1</v>
      </c>
      <c r="D15" t="n">
        <v>1</v>
      </c>
      <c r="E15" s="3">
        <f>C15*D15</f>
        <v/>
      </c>
      <c r="F15" s="3">
        <f>E15*CommissionRate</f>
        <v/>
      </c>
    </row>
    <row r="16">
      <c r="A16" t="inlineStr">
        <is>
          <t>North</t>
        </is>
      </c>
      <c r="B16" t="inlineStr">
        <is>
          <t>Mateo Silva</t>
        </is>
      </c>
      <c r="C16" t="n">
        <v>26</v>
      </c>
      <c r="D16" t="n">
        <v>175</v>
      </c>
      <c r="E16" s="3">
        <f>C16*D16</f>
        <v/>
      </c>
      <c r="F16" s="3">
        <f>E16*CommissionRate</f>
        <v/>
      </c>
    </row>
    <row r="17">
      <c r="A17" t="inlineStr">
        <is>
          <t>South</t>
        </is>
      </c>
      <c r="B17" t="inlineStr">
        <is>
          <t>Nadia Haddad</t>
        </is>
      </c>
      <c r="C17" t="n">
        <v>53</v>
      </c>
      <c r="D17" t="n">
        <v>68</v>
      </c>
      <c r="E17" s="3">
        <f>C17*D17</f>
        <v/>
      </c>
      <c r="F17" s="3">
        <f>E17*CommissionRate</f>
        <v/>
      </c>
    </row>
    <row r="18">
      <c r="A18" t="inlineStr">
        <is>
          <t>East</t>
        </is>
      </c>
      <c r="B18" t="inlineStr">
        <is>
          <t>Omar Aziz</t>
        </is>
      </c>
      <c r="C18" t="n">
        <v>29</v>
      </c>
      <c r="D18" t="n">
        <v>150</v>
      </c>
      <c r="E18" s="3">
        <f>C18*D18</f>
        <v/>
      </c>
      <c r="F18" s="3">
        <f>E18*CommissionRate</f>
        <v/>
      </c>
    </row>
    <row r="19">
      <c r="A19" t="inlineStr">
        <is>
          <t>West</t>
        </is>
      </c>
      <c r="B19" t="inlineStr">
        <is>
          <t>Priya Menon</t>
        </is>
      </c>
      <c r="C19" t="n">
        <v>41</v>
      </c>
      <c r="D19" t="n">
        <v>102</v>
      </c>
      <c r="E19" s="3">
        <f>C19*D19</f>
        <v/>
      </c>
      <c r="F19" s="3">
        <f>E19*CommissionRate</f>
        <v/>
      </c>
    </row>
    <row r="20">
      <c r="A20" t="inlineStr">
        <is>
          <t>South</t>
        </is>
      </c>
      <c r="B20" t="inlineStr">
        <is>
          <t>Quinn Murphy</t>
        </is>
      </c>
      <c r="C20" t="n">
        <v>16</v>
      </c>
      <c r="D20" t="n">
        <v>280</v>
      </c>
      <c r="E20" s="3">
        <f>C20*D20</f>
        <v/>
      </c>
      <c r="F20" s="3">
        <f>E20*CommissionRate</f>
        <v/>
      </c>
    </row>
    <row r="21">
      <c r="A21" t="inlineStr">
        <is>
          <t>North</t>
        </is>
      </c>
      <c r="B21" t="inlineStr">
        <is>
          <t>Ravi Shah</t>
        </is>
      </c>
      <c r="C21" t="n">
        <v>47</v>
      </c>
      <c r="D21" t="n">
        <v>88</v>
      </c>
      <c r="E21" s="3">
        <f>C21*D21</f>
        <v/>
      </c>
      <c r="F21" s="3">
        <f>E21*CommissionRate</f>
        <v/>
      </c>
    </row>
    <row r="22">
      <c r="A22" s="1" t="inlineStr">
        <is>
          <t>Total</t>
        </is>
      </c>
      <c r="C22">
        <f>SUM(C2:C21)</f>
        <v/>
      </c>
      <c r="E22">
        <f>SUM(E2:E21)</f>
        <v/>
      </c>
      <c r="F22">
        <f>SUM(F2:F21)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20" customWidth="1" min="1" max="1"/>
    <col width="14" customWidth="1" min="2" max="2"/>
  </cols>
  <sheetData>
    <row r="1">
      <c r="A1" s="1" t="inlineStr">
        <is>
          <t>Q3 Summary</t>
        </is>
      </c>
    </row>
    <row r="3">
      <c r="A3" t="inlineStr">
        <is>
          <t>Total revenue</t>
        </is>
      </c>
      <c r="B3">
        <f>Sales!E22</f>
        <v/>
      </c>
    </row>
    <row r="4">
      <c r="A4" t="inlineStr">
        <is>
          <t>Total commission</t>
        </is>
      </c>
      <c r="B4">
        <f>Sales!F22</f>
        <v/>
      </c>
    </row>
    <row r="5">
      <c r="A5" t="inlineStr">
        <is>
          <t>Average sale</t>
        </is>
      </c>
      <c r="B5">
        <f>AVERAGE(SalesRevenue)</f>
        <v/>
      </c>
    </row>
    <row r="6">
      <c r="A6" t="inlineStr">
        <is>
          <t>North revenue</t>
        </is>
      </c>
      <c r="B6">
        <f>SUMIF(Sales!A2:A21,"North",Sales!E2:E21)</f>
        <v/>
      </c>
    </row>
    <row r="7">
      <c r="A7" t="inlineStr">
        <is>
          <t>Target met?</t>
        </is>
      </c>
      <c r="B7">
        <f>IF(B3&gt;=Target,"Yes","No")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2026-10-07T21:32:01Z</dcterms:created>
  <dcterms:modified xmlns:dcterms="http://purl.org/dc/terms/" xmlns:xsi="http://www.w3.org/2001/XMLSchema-instance" xsi:type="dcterms:W3CDTF">2026-10-07T22:04:44Z</dcterms:modified>
</cp:coreProperties>
</file>